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器" sheetId="1" state="visible" r:id="rId1"/>
    <sheet xmlns:r="http://schemas.openxmlformats.org/officeDocument/2006/relationships" name="反向计算器A-直接输入" sheetId="2" state="visible" r:id="rId2"/>
    <sheet xmlns:r="http://schemas.openxmlformats.org/officeDocument/2006/relationships" name="反向计算器B-推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4472C4"/>
      <sz val="11"/>
    </font>
    <font>
      <b val="1"/>
      <color rgb="00C00000"/>
      <sz val="12"/>
    </font>
    <font>
      <b val="1"/>
      <color rgb="00006100"/>
      <sz val="12"/>
    </font>
    <font>
      <b val="1"/>
      <color rgb="00FFFFFF"/>
      <sz val="11"/>
    </font>
    <font>
      <b val="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3" fontId="0" fillId="3" borderId="2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  <xf numFmtId="0" fontId="7" fillId="0" borderId="2" pivotButton="0" quotePrefix="0" xfId="0"/>
    <xf numFmtId="164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8" fillId="0" borderId="0" pivotButton="0" quotePrefix="0" xfId="0"/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</cols>
  <sheetData>
    <row r="1">
      <c r="A1" s="1" t="inlineStr">
        <is>
          <t>DeepEP Shmem 池容量计算器</t>
        </is>
      </c>
    </row>
    <row r="2">
      <c r="A2" s="2" t="inlineStr">
        <is>
          <t>修改黄色单元格中的值，绿色单元格自动计算结果</t>
        </is>
      </c>
    </row>
    <row r="4">
      <c r="A4" s="3" t="inlineStr">
        <is>
          <t>常量</t>
        </is>
      </c>
    </row>
    <row r="5">
      <c r="A5" s="4" t="inlineStr">
        <is>
          <t>SHMEM_LOCAL_MEM_SIZE (字节)</t>
        </is>
      </c>
      <c r="B5" s="5" t="n">
        <v>4294967296</v>
      </c>
      <c r="D5" s="6" t="inlineStr">
        <is>
          <t>shmem 总池大小 (默认 4GB)</t>
        </is>
      </c>
    </row>
    <row r="6">
      <c r="A6" s="4" t="inlineStr">
        <is>
          <t>SHMEM_META_DATA_SIZE (字节)</t>
        </is>
      </c>
      <c r="B6" s="5" t="n">
        <v>104857600</v>
      </c>
      <c r="D6" s="6" t="inlineStr">
        <is>
          <t>元数据保留 (默认 100MB)</t>
        </is>
      </c>
    </row>
    <row r="8">
      <c r="A8" s="3" t="inlineStr">
        <is>
          <t>输入参数</t>
        </is>
      </c>
    </row>
    <row r="9">
      <c r="A9" s="4" t="inlineStr">
        <is>
          <t>hidden_size (H)</t>
        </is>
      </c>
      <c r="B9" s="5" t="n">
        <v>7168</v>
      </c>
      <c r="D9" s="6" t="inlineStr">
        <is>
          <t>模型隐藏维度, 如 DeepSeek-V3=7168</t>
        </is>
      </c>
    </row>
    <row r="10">
      <c r="A10" s="4" t="inlineStr">
        <is>
          <t>num_experts (E)</t>
        </is>
      </c>
      <c r="B10" s="5" t="n">
        <v>256</v>
      </c>
      <c r="D10" s="6" t="inlineStr">
        <is>
          <t>专家总数, 如 DeepSeek-V3=256</t>
        </is>
      </c>
    </row>
    <row r="11">
      <c r="A11" s="4" t="inlineStr">
        <is>
          <t>world_size (R)</t>
        </is>
      </c>
      <c r="B11" s="5" t="n">
        <v>16</v>
      </c>
      <c r="D11" s="6" t="inlineStr">
        <is>
          <t>EP 并行的 rank 总数</t>
        </is>
      </c>
    </row>
    <row r="12">
      <c r="A12" s="4" t="inlineStr">
        <is>
          <t>use_quant (0或1)</t>
        </is>
      </c>
      <c r="B12" s="5" t="n">
        <v>0</v>
      </c>
      <c r="D12" s="6" t="inlineStr">
        <is>
          <t>0=BF16, 1=FP8/INT8 量化</t>
        </is>
      </c>
    </row>
    <row r="14">
      <c r="A14" s="3" t="inlineStr">
        <is>
          <t>计算过程</t>
        </is>
      </c>
    </row>
    <row r="15">
      <c r="A15" s="4" t="inlineStr">
        <is>
          <t>固定开销 (字节)</t>
        </is>
      </c>
      <c r="B15" s="7">
        <f>B10*(1+B11)*4</f>
        <v/>
      </c>
      <c r="C15" s="6" t="inlineStr">
        <is>
          <t>E × (1 + R) × 4</t>
        </is>
      </c>
    </row>
    <row r="16">
      <c r="A16" s="4" t="inlineStr">
        <is>
          <t>可用空间 (字节)</t>
        </is>
      </c>
      <c r="B16" s="7">
        <f>B5-B6-B15</f>
        <v/>
      </c>
      <c r="C16" s="6" t="inlineStr">
        <is>
          <t>总池 - 元数据 - 固定开销</t>
        </is>
      </c>
    </row>
    <row r="17">
      <c r="A17" s="4" t="inlineStr">
        <is>
          <t>单 token 开销 (字节)</t>
        </is>
      </c>
      <c r="B17" s="7">
        <f>B9*2+B12*4</f>
        <v/>
      </c>
      <c r="C17" s="6" t="inlineStr">
        <is>
          <t>H × 2 + (量化 ? 4 : 0)</t>
        </is>
      </c>
    </row>
    <row r="18">
      <c r="A18" s="4" t="inlineStr">
        <is>
          <t>max_recv_tokens</t>
        </is>
      </c>
      <c r="B18" s="8">
        <f>INT(B16/B17)</f>
        <v/>
      </c>
      <c r="C18" s="6" t="inlineStr">
        <is>
          <t>可用空间 / 单 token 开销</t>
        </is>
      </c>
    </row>
    <row r="20">
      <c r="A20" s="3" t="inlineStr">
        <is>
          <t>Shmem Tensor 明细</t>
        </is>
      </c>
    </row>
    <row r="21">
      <c r="A21" s="9" t="inlineStr">
        <is>
          <t>Tensor 名称</t>
        </is>
      </c>
      <c r="B21" s="9" t="inlineStr">
        <is>
          <t>大小 (字节)</t>
        </is>
      </c>
      <c r="C21" s="9" t="inlineStr">
        <is>
          <t>大小 (MB)</t>
        </is>
      </c>
      <c r="D21" s="9" t="inlineStr">
        <is>
          <t>说明</t>
        </is>
      </c>
    </row>
    <row r="22">
      <c r="A22" s="10" t="inlineStr">
        <is>
          <t>SHMEM_META_DATA</t>
        </is>
      </c>
      <c r="B22" s="11">
        <f>B6</f>
        <v/>
      </c>
      <c r="C22" s="12">
        <f>B22/1024/1024</f>
        <v/>
      </c>
      <c r="D22" s="10" t="inlineStr">
        <is>
          <t>元数据保留区</t>
        </is>
      </c>
    </row>
    <row r="23">
      <c r="A23" s="10" t="inlineStr">
        <is>
          <t>num_tokens_per_expert</t>
        </is>
      </c>
      <c r="B23" s="11">
        <f>B10*4</f>
        <v/>
      </c>
      <c r="C23" s="12">
        <f>B23/1024/1024</f>
        <v/>
      </c>
      <c r="D23" s="10" t="inlineStr">
        <is>
          <t>{E} × kInt</t>
        </is>
      </c>
    </row>
    <row r="24">
      <c r="A24" s="10" t="inlineStr">
        <is>
          <t>dispatch_shmem_recv_data</t>
        </is>
      </c>
      <c r="B24" s="11">
        <f>B11*B10*4</f>
        <v/>
      </c>
      <c r="C24" s="12">
        <f>B24/1024/1024</f>
        <v/>
      </c>
      <c r="D24" s="10" t="inlineStr">
        <is>
          <t>{R, E} × kInt</t>
        </is>
      </c>
    </row>
    <row r="25">
      <c r="A25" s="10" t="inlineStr">
        <is>
          <t>combine_x (=expandx_out)</t>
        </is>
      </c>
      <c r="B25" s="11">
        <f>B18*B9*2</f>
        <v/>
      </c>
      <c r="C25" s="12">
        <f>B25/1024/1024</f>
        <v/>
      </c>
      <c r="D25" s="10" t="inlineStr">
        <is>
          <t>{T, H} × BF16, expandx_out 共享此内存</t>
        </is>
      </c>
    </row>
    <row r="26">
      <c r="A26" s="10" t="inlineStr">
        <is>
          <t>dynamic_scales_out</t>
        </is>
      </c>
      <c r="B26" s="11">
        <f>IF(B12=1, B18*4, 0)</f>
        <v/>
      </c>
      <c r="C26" s="12">
        <f>B26/1024/1024</f>
        <v/>
      </c>
      <c r="D26" s="10" t="inlineStr">
        <is>
          <t>{T} × kFloat, 仅量化时分配</t>
        </is>
      </c>
    </row>
    <row r="27">
      <c r="A27" s="13" t="inlineStr">
        <is>
          <t>合计</t>
        </is>
      </c>
      <c r="B27" s="8">
        <f>SUM(B22:B26)</f>
        <v/>
      </c>
      <c r="C27" s="14">
        <f>B27/1024/1024</f>
        <v/>
      </c>
      <c r="D27" s="10" t="inlineStr">
        <is>
          <t>所有 shmem tensor 总用量</t>
        </is>
      </c>
    </row>
    <row r="29">
      <c r="A29" s="3" t="inlineStr">
        <is>
          <t>结果摘要</t>
        </is>
      </c>
    </row>
    <row r="30">
      <c r="A30" s="4" t="inlineStr">
        <is>
          <t>max_recv_tokens</t>
        </is>
      </c>
      <c r="B30" s="8">
        <f>B18</f>
        <v/>
      </c>
    </row>
    <row r="31">
      <c r="A31" s="4" t="inlineStr">
        <is>
          <t>可用空间 (GB)</t>
        </is>
      </c>
      <c r="B31" s="14">
        <f>B16/1024/1024/1024</f>
        <v/>
      </c>
    </row>
    <row r="32">
      <c r="A32" s="4" t="inlineStr">
        <is>
          <t>固定开销 (MB)</t>
        </is>
      </c>
      <c r="B32" s="14">
        <f>B15/1024/1024</f>
        <v/>
      </c>
    </row>
    <row r="33">
      <c r="A33" s="4" t="inlineStr">
        <is>
          <t>单 token 开销 (KB)</t>
        </is>
      </c>
      <c r="B33" s="14">
        <f>B17/1024</f>
        <v/>
      </c>
    </row>
    <row r="34">
      <c r="A34" s="4" t="inlineStr">
        <is>
          <t>实际总 shmem 用量 (GB)</t>
        </is>
      </c>
      <c r="B34" s="14">
        <f>B27/1024/1024/1024</f>
        <v/>
      </c>
    </row>
    <row r="35">
      <c r="A35" s="4" t="inlineStr">
        <is>
          <t>shmem 利用率</t>
        </is>
      </c>
      <c r="B35" s="15">
        <f>B27/B5</f>
        <v/>
      </c>
    </row>
    <row r="37">
      <c r="A37" s="3" t="inlineStr">
        <is>
          <t>公式参考</t>
        </is>
      </c>
    </row>
    <row r="38">
      <c r="A38" s="16" t="inlineStr">
        <is>
          <t>fixed_bytes = E × (1 + R) × 4</t>
        </is>
      </c>
    </row>
    <row r="39">
      <c r="A39" s="16" t="inlineStr">
        <is>
          <t>avail_bytes = SHMEM_LOCAL_MEM_SIZE - SHMEM_META_DATA_SIZE - fixed_bytes</t>
        </is>
      </c>
    </row>
    <row r="40">
      <c r="A40" s="16" t="inlineStr">
        <is>
          <t>per_token_bytes = H × 2 + (use_quant ? 4 : 0)</t>
        </is>
      </c>
    </row>
    <row r="41">
      <c r="A41" s="16" t="inlineStr">
        <is>
          <t>max_recv_tokens = ⌊ avail_bytes / per_token_bytes ⌋</t>
        </is>
      </c>
    </row>
    <row r="42">
      <c r="A42" s="16" t="inlineStr"/>
    </row>
    <row r="43">
      <c r="A43" s="16" t="inlineStr">
        <is>
          <t>源码位置: deepep_standalone/csrc/deepep/deep_ep.cpp → Buffer::preallocate_shmem_tensors()</t>
        </is>
      </c>
    </row>
    <row r="44">
      <c r="A44" s="16" t="inlineStr">
        <is>
          <t>SHMEM_LOCAL_MEM_SIZE = 4GB (硬编码常量)</t>
        </is>
      </c>
    </row>
    <row r="45">
      <c r="A45" s="16" t="inlineStr">
        <is>
          <t>SHMEM_META_DATA_SIZE = 100MB (硬编码常量)</t>
        </is>
      </c>
    </row>
  </sheetData>
  <mergeCells count="10">
    <mergeCell ref="A1:D1"/>
    <mergeCell ref="A40:D40"/>
    <mergeCell ref="A45:D45"/>
    <mergeCell ref="A38:D38"/>
    <mergeCell ref="A39:D39"/>
    <mergeCell ref="A43:D43"/>
    <mergeCell ref="A41:D41"/>
    <mergeCell ref="A2:D2"/>
    <mergeCell ref="A42:D42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50" customWidth="1" min="4" max="4"/>
  </cols>
  <sheetData>
    <row r="1">
      <c r="A1" s="1" t="inlineStr">
        <is>
          <t>反向计算器 A：直接输入 max_recv_tokens → 所需 shmem 池大小</t>
        </is>
      </c>
    </row>
    <row r="2">
      <c r="A2" s="2" t="inlineStr">
        <is>
          <t>修改黄色单元格中的值，绿色单元格自动计算所需显存池大小</t>
        </is>
      </c>
    </row>
    <row r="4">
      <c r="A4" s="3" t="inlineStr">
        <is>
          <t>常量</t>
        </is>
      </c>
    </row>
    <row r="5">
      <c r="A5" s="4" t="inlineStr">
        <is>
          <t>SHMEM_META_DATA_SIZE (字节)</t>
        </is>
      </c>
      <c r="B5" s="5" t="n">
        <v>104857600</v>
      </c>
      <c r="D5" s="6" t="inlineStr">
        <is>
          <t>元数据保留 (默认 100MB)</t>
        </is>
      </c>
    </row>
    <row r="7">
      <c r="A7" s="3" t="inlineStr">
        <is>
          <t>输入参数</t>
        </is>
      </c>
    </row>
    <row r="8">
      <c r="A8" s="4" t="inlineStr">
        <is>
          <t>hidden_size (H)</t>
        </is>
      </c>
      <c r="B8" s="5" t="n">
        <v>7168</v>
      </c>
      <c r="D8" s="6" t="inlineStr">
        <is>
          <t>模型隐藏维度</t>
        </is>
      </c>
    </row>
    <row r="9">
      <c r="A9" s="4" t="inlineStr">
        <is>
          <t>num_experts (E)</t>
        </is>
      </c>
      <c r="B9" s="5" t="n">
        <v>256</v>
      </c>
      <c r="D9" s="6" t="inlineStr">
        <is>
          <t>专家总数</t>
        </is>
      </c>
    </row>
    <row r="10">
      <c r="A10" s="4" t="inlineStr">
        <is>
          <t>world_size (R)</t>
        </is>
      </c>
      <c r="B10" s="5" t="n">
        <v>16</v>
      </c>
      <c r="D10" s="6" t="inlineStr">
        <is>
          <t>EP 并行的 rank 总数</t>
        </is>
      </c>
    </row>
    <row r="11">
      <c r="A11" s="4" t="inlineStr">
        <is>
          <t>use_quant (0或1)</t>
        </is>
      </c>
      <c r="B11" s="5" t="n">
        <v>0</v>
      </c>
      <c r="D11" s="6" t="inlineStr">
        <is>
          <t>0=BF16, 1=FP8/INT8 量化</t>
        </is>
      </c>
    </row>
    <row r="12">
      <c r="A12" s="4" t="inlineStr">
        <is>
          <t>目标 max_recv_tokens</t>
        </is>
      </c>
      <c r="B12" s="5" t="n">
        <v>285000</v>
      </c>
      <c r="D12" s="6" t="inlineStr">
        <is>
          <t>期望支持的最大接收 token 数</t>
        </is>
      </c>
    </row>
    <row r="13">
      <c r="A13" s="4" t="inlineStr">
        <is>
          <t>余量比例 (%)</t>
        </is>
      </c>
      <c r="B13" s="5" t="n">
        <v>10</v>
      </c>
      <c r="D13" s="6" t="inlineStr">
        <is>
          <t>建议申请量的额外余量百分比, 如 10 代表 10%</t>
        </is>
      </c>
    </row>
    <row r="15">
      <c r="A15" s="3" t="inlineStr">
        <is>
          <t>计算过程</t>
        </is>
      </c>
    </row>
    <row r="16">
      <c r="A16" s="4" t="inlineStr">
        <is>
          <t>固定开销 (字节)</t>
        </is>
      </c>
      <c r="B16" s="7">
        <f>B9*(1+B10)*4</f>
        <v/>
      </c>
      <c r="C16" s="6" t="inlineStr">
        <is>
          <t>E × (1 + R) × 4</t>
        </is>
      </c>
    </row>
    <row r="17">
      <c r="A17" s="4" t="inlineStr">
        <is>
          <t>单 token 开销 (字节)</t>
        </is>
      </c>
      <c r="B17" s="7">
        <f>B8*2+B11*4</f>
        <v/>
      </c>
      <c r="C17" s="6" t="inlineStr">
        <is>
          <t>H × 2 + (量化 ? 4 : 0)</t>
        </is>
      </c>
    </row>
    <row r="18">
      <c r="A18" s="4" t="inlineStr">
        <is>
          <t>数据区所需空间 (字节)</t>
        </is>
      </c>
      <c r="B18" s="7">
        <f>B12*B17</f>
        <v/>
      </c>
      <c r="C18" s="6" t="inlineStr">
        <is>
          <t>max_recv_tokens × per_token</t>
        </is>
      </c>
    </row>
    <row r="19">
      <c r="A19" s="4" t="inlineStr">
        <is>
          <t>所需总池大小 (字节)</t>
        </is>
      </c>
      <c r="B19" s="8">
        <f>B5+B16+B18</f>
        <v/>
      </c>
      <c r="C19" s="6" t="inlineStr">
        <is>
          <t>元数据 + 固定开销 + 数据区</t>
        </is>
      </c>
    </row>
    <row r="21">
      <c r="A21" s="3" t="inlineStr">
        <is>
          <t>Shmem Tensor 明细</t>
        </is>
      </c>
    </row>
    <row r="22">
      <c r="A22" s="9" t="inlineStr">
        <is>
          <t>Tensor 名称</t>
        </is>
      </c>
      <c r="B22" s="9" t="inlineStr">
        <is>
          <t>大小 (字节)</t>
        </is>
      </c>
      <c r="C22" s="9" t="inlineStr">
        <is>
          <t>大小 (MB)</t>
        </is>
      </c>
      <c r="D22" s="9" t="inlineStr">
        <is>
          <t>说明</t>
        </is>
      </c>
    </row>
    <row r="23">
      <c r="A23" s="10" t="inlineStr">
        <is>
          <t>SHMEM_META_DATA</t>
        </is>
      </c>
      <c r="B23" s="11">
        <f>B5</f>
        <v/>
      </c>
      <c r="C23" s="12">
        <f>B23/1024/1024</f>
        <v/>
      </c>
      <c r="D23" s="10" t="inlineStr">
        <is>
          <t>元数据保留区</t>
        </is>
      </c>
    </row>
    <row r="24">
      <c r="A24" s="10" t="inlineStr">
        <is>
          <t>num_tokens_per_expert</t>
        </is>
      </c>
      <c r="B24" s="11">
        <f>B9*4</f>
        <v/>
      </c>
      <c r="C24" s="12">
        <f>B24/1024/1024</f>
        <v/>
      </c>
      <c r="D24" s="10" t="inlineStr">
        <is>
          <t>{E} × kInt</t>
        </is>
      </c>
    </row>
    <row r="25">
      <c r="A25" s="10" t="inlineStr">
        <is>
          <t>dispatch_shmem_recv_data</t>
        </is>
      </c>
      <c r="B25" s="11">
        <f>B10*B9*4</f>
        <v/>
      </c>
      <c r="C25" s="12">
        <f>B25/1024/1024</f>
        <v/>
      </c>
      <c r="D25" s="10" t="inlineStr">
        <is>
          <t>{R, E} × kInt</t>
        </is>
      </c>
    </row>
    <row r="26">
      <c r="A26" s="10" t="inlineStr">
        <is>
          <t>combine_x (=expandx_out)</t>
        </is>
      </c>
      <c r="B26" s="11">
        <f>B12*B8*2</f>
        <v/>
      </c>
      <c r="C26" s="12">
        <f>B26/1024/1024</f>
        <v/>
      </c>
      <c r="D26" s="10" t="inlineStr">
        <is>
          <t>{T, H} × BF16, expandx_out 共享此内存</t>
        </is>
      </c>
    </row>
    <row r="27">
      <c r="A27" s="10" t="inlineStr">
        <is>
          <t>dynamic_scales_out</t>
        </is>
      </c>
      <c r="B27" s="11">
        <f>IF(B11=1, B12*4, 0)</f>
        <v/>
      </c>
      <c r="C27" s="12">
        <f>B27/1024/1024</f>
        <v/>
      </c>
      <c r="D27" s="10" t="inlineStr">
        <is>
          <t>{T} × kFloat, 仅量化时分配</t>
        </is>
      </c>
    </row>
    <row r="28">
      <c r="A28" s="13" t="inlineStr">
        <is>
          <t>合计</t>
        </is>
      </c>
      <c r="B28" s="8">
        <f>SUM(B23:B27)</f>
        <v/>
      </c>
      <c r="C28" s="14">
        <f>B28/1024/1024</f>
        <v/>
      </c>
      <c r="D28" s="10" t="inlineStr">
        <is>
          <t>所有 shmem tensor 总用量</t>
        </is>
      </c>
    </row>
    <row r="30">
      <c r="A30" s="3" t="inlineStr">
        <is>
          <t>结果摘要</t>
        </is>
      </c>
    </row>
    <row r="31">
      <c r="A31" s="4" t="inlineStr">
        <is>
          <t>所需 shmem 池大小 (GB)</t>
        </is>
      </c>
      <c r="B31" s="14">
        <f>B19/1024/1024/1024</f>
        <v/>
      </c>
    </row>
    <row r="32">
      <c r="A32" s="4" t="inlineStr">
        <is>
          <t>所需 shmem 池大小 (MB)</t>
        </is>
      </c>
      <c r="B32" s="14">
        <f>B19/1024/1024</f>
        <v/>
      </c>
    </row>
    <row r="33">
      <c r="A33" s="4" t="inlineStr">
        <is>
          <t>建议申请量 (GB, 含余量)</t>
        </is>
      </c>
      <c r="B33" s="17">
        <f>CEILING(B19*(1+B13/100)/1024/1024/1024, 0.5)</f>
        <v/>
      </c>
    </row>
    <row r="34">
      <c r="A34" s="4" t="inlineStr">
        <is>
          <t>固定开销占比</t>
        </is>
      </c>
      <c r="B34" s="18">
        <f>B16/B19</f>
        <v/>
      </c>
    </row>
    <row r="35">
      <c r="A35" s="4" t="inlineStr">
        <is>
          <t>元数据占比</t>
        </is>
      </c>
      <c r="B35" s="15">
        <f>B5/B19</f>
        <v/>
      </c>
    </row>
    <row r="36">
      <c r="A36" s="4" t="inlineStr">
        <is>
          <t>数据区占比</t>
        </is>
      </c>
      <c r="B36" s="15">
        <f>B18/B19</f>
        <v/>
      </c>
    </row>
    <row r="38">
      <c r="A38" s="3" t="inlineStr">
        <is>
          <t>公式参考</t>
        </is>
      </c>
    </row>
    <row r="39">
      <c r="A39" s="16" t="inlineStr">
        <is>
          <t>required_pool = META_SIZE + E×(1+R)×4 + max_recv_tokens × (H×2 + quant×4)</t>
        </is>
      </c>
    </row>
    <row r="40">
      <c r="A40" s="16" t="inlineStr"/>
    </row>
    <row r="41">
      <c r="A41" s="16" t="inlineStr">
        <is>
          <t>反向推导自:</t>
        </is>
      </c>
    </row>
    <row r="42">
      <c r="A42" s="16" t="inlineStr">
        <is>
          <t>max_recv_tokens = ⌊ (pool - META_SIZE - E×(1+R)×4) / (H×2 + quant×4) ⌋</t>
        </is>
      </c>
    </row>
  </sheetData>
  <mergeCells count="6">
    <mergeCell ref="A1:D1"/>
    <mergeCell ref="A40:D40"/>
    <mergeCell ref="A39:D39"/>
    <mergeCell ref="A41:D41"/>
    <mergeCell ref="A2:D2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50" customWidth="1" min="4" max="4"/>
  </cols>
  <sheetData>
    <row r="1">
      <c r="A1" s="1" t="inlineStr">
        <is>
          <t>反向计算器 B：由 seqLen/topk/不均匀比例 推算所需 shmem 池大小</t>
        </is>
      </c>
    </row>
    <row r="2">
      <c r="A2" s="2" t="inlineStr">
        <is>
          <t>修改黄色单元格中的值，绿色单元格自动计算所需显存池大小</t>
        </is>
      </c>
    </row>
    <row r="4">
      <c r="A4" s="3" t="inlineStr">
        <is>
          <t>常量</t>
        </is>
      </c>
    </row>
    <row r="5">
      <c r="A5" s="4" t="inlineStr">
        <is>
          <t>SHMEM_META_DATA_SIZE (字节)</t>
        </is>
      </c>
      <c r="B5" s="5" t="n">
        <v>104857600</v>
      </c>
      <c r="D5" s="6" t="inlineStr">
        <is>
          <t>元数据保留 (默认 100MB)</t>
        </is>
      </c>
    </row>
    <row r="7">
      <c r="A7" s="3" t="inlineStr">
        <is>
          <t>输入参数</t>
        </is>
      </c>
    </row>
    <row r="8">
      <c r="A8" s="4" t="inlineStr">
        <is>
          <t>hidden_size (H)</t>
        </is>
      </c>
      <c r="B8" s="5" t="n">
        <v>7168</v>
      </c>
      <c r="D8" s="6" t="inlineStr">
        <is>
          <t>模型隐藏维度</t>
        </is>
      </c>
    </row>
    <row r="9">
      <c r="A9" s="4" t="inlineStr">
        <is>
          <t>num_experts (E)</t>
        </is>
      </c>
      <c r="B9" s="5" t="n">
        <v>256</v>
      </c>
      <c r="D9" s="6" t="inlineStr">
        <is>
          <t>专家总数</t>
        </is>
      </c>
    </row>
    <row r="10">
      <c r="A10" s="4" t="inlineStr">
        <is>
          <t>world_size (R)</t>
        </is>
      </c>
      <c r="B10" s="5" t="n">
        <v>16</v>
      </c>
      <c r="D10" s="6" t="inlineStr">
        <is>
          <t>EP 并行的 rank 总数</t>
        </is>
      </c>
    </row>
    <row r="11">
      <c r="A11" s="4" t="inlineStr">
        <is>
          <t>use_quant (0或1)</t>
        </is>
      </c>
      <c r="B11" s="5" t="n">
        <v>0</v>
      </c>
      <c r="D11" s="6" t="inlineStr">
        <is>
          <t>0=BF16, 1=FP8/INT8 量化</t>
        </is>
      </c>
    </row>
    <row r="12">
      <c r="A12" s="4" t="inlineStr">
        <is>
          <t>seqLen (每卡输入token数)</t>
        </is>
      </c>
      <c r="B12" s="5" t="n">
        <v>4096</v>
      </c>
      <c r="D12" s="6" t="inlineStr">
        <is>
          <t>dispatch 输入的序列长度 (每张卡)</t>
        </is>
      </c>
    </row>
    <row r="13">
      <c r="A13" s="4" t="inlineStr">
        <is>
          <t>topk</t>
        </is>
      </c>
      <c r="B13" s="5" t="n">
        <v>8</v>
      </c>
      <c r="D13" s="6" t="inlineStr">
        <is>
          <t>每个 token 路由到的专家数</t>
        </is>
      </c>
    </row>
    <row r="14">
      <c r="A14" s="4" t="inlineStr">
        <is>
          <t>不均匀比例</t>
        </is>
      </c>
      <c r="B14" s="19" t="n">
        <v>1.5</v>
      </c>
      <c r="D14" s="6" t="inlineStr">
        <is>
          <t>负载不均匀倍数, 1.0=完全均匀, 1.5=最坏比均值多50%</t>
        </is>
      </c>
    </row>
    <row r="16">
      <c r="A16" s="3" t="inlineStr">
        <is>
          <t>计算过程</t>
        </is>
      </c>
    </row>
    <row r="17">
      <c r="A17" s="4" t="inlineStr">
        <is>
          <t>max_recv_tokens (估算)</t>
        </is>
      </c>
      <c r="B17" s="8">
        <f>CEILING(B12*B13*B14, 1)</f>
        <v/>
      </c>
      <c r="C17" s="6" t="inlineStr">
        <is>
          <t>seqLen × topk × 不均匀比例</t>
        </is>
      </c>
    </row>
    <row r="18">
      <c r="A18" s="4" t="inlineStr">
        <is>
          <t>固定开销 (字节)</t>
        </is>
      </c>
      <c r="B18" s="7">
        <f>B9*(1+B10)*4</f>
        <v/>
      </c>
      <c r="C18" s="6" t="inlineStr">
        <is>
          <t>E × (1 + R) × 4</t>
        </is>
      </c>
    </row>
    <row r="19">
      <c r="A19" s="4" t="inlineStr">
        <is>
          <t>单 token 开销 (字节)</t>
        </is>
      </c>
      <c r="B19" s="7">
        <f>B8*2+B11*4</f>
        <v/>
      </c>
      <c r="C19" s="6" t="inlineStr">
        <is>
          <t>H × 2 + (量化 ? 4 : 0)</t>
        </is>
      </c>
    </row>
    <row r="20">
      <c r="A20" s="4" t="inlineStr">
        <is>
          <t>数据区所需空间 (字节)</t>
        </is>
      </c>
      <c r="B20" s="7">
        <f>B17*B19</f>
        <v/>
      </c>
      <c r="C20" s="6" t="inlineStr">
        <is>
          <t>max_recv_tokens × per_token</t>
        </is>
      </c>
    </row>
    <row r="21">
      <c r="A21" s="4" t="inlineStr">
        <is>
          <t>所需总池大小 (字节)</t>
        </is>
      </c>
      <c r="B21" s="8">
        <f>B5+B18+B20</f>
        <v/>
      </c>
      <c r="C21" s="6" t="inlineStr">
        <is>
          <t>元数据 + 固定开销 + 数据区</t>
        </is>
      </c>
    </row>
    <row r="23">
      <c r="A23" s="3" t="inlineStr">
        <is>
          <t>Shmem Tensor 明细</t>
        </is>
      </c>
    </row>
    <row r="24">
      <c r="A24" s="9" t="inlineStr">
        <is>
          <t>Tensor 名称</t>
        </is>
      </c>
      <c r="B24" s="9" t="inlineStr">
        <is>
          <t>大小 (字节)</t>
        </is>
      </c>
      <c r="C24" s="9" t="inlineStr">
        <is>
          <t>大小 (MB)</t>
        </is>
      </c>
      <c r="D24" s="9" t="inlineStr">
        <is>
          <t>说明</t>
        </is>
      </c>
    </row>
    <row r="25">
      <c r="A25" s="10" t="inlineStr">
        <is>
          <t>SHMEM_META_DATA</t>
        </is>
      </c>
      <c r="B25" s="11">
        <f>B5</f>
        <v/>
      </c>
      <c r="C25" s="12">
        <f>B25/1024/1024</f>
        <v/>
      </c>
      <c r="D25" s="10" t="inlineStr">
        <is>
          <t>元数据保留区</t>
        </is>
      </c>
    </row>
    <row r="26">
      <c r="A26" s="10" t="inlineStr">
        <is>
          <t>num_tokens_per_expert</t>
        </is>
      </c>
      <c r="B26" s="11">
        <f>B9*4</f>
        <v/>
      </c>
      <c r="C26" s="12">
        <f>B26/1024/1024</f>
        <v/>
      </c>
      <c r="D26" s="10" t="inlineStr">
        <is>
          <t>{E} × kInt</t>
        </is>
      </c>
    </row>
    <row r="27">
      <c r="A27" s="10" t="inlineStr">
        <is>
          <t>dispatch_shmem_recv_data</t>
        </is>
      </c>
      <c r="B27" s="11">
        <f>B10*B9*4</f>
        <v/>
      </c>
      <c r="C27" s="12">
        <f>B27/1024/1024</f>
        <v/>
      </c>
      <c r="D27" s="10" t="inlineStr">
        <is>
          <t>{R, E} × kInt</t>
        </is>
      </c>
    </row>
    <row r="28">
      <c r="A28" s="10" t="inlineStr">
        <is>
          <t>combine_x (=expandx_out)</t>
        </is>
      </c>
      <c r="B28" s="11">
        <f>B17*B8*2</f>
        <v/>
      </c>
      <c r="C28" s="12">
        <f>B28/1024/1024</f>
        <v/>
      </c>
      <c r="D28" s="10" t="inlineStr">
        <is>
          <t>{T, H} × BF16, expandx_out 共享此内存</t>
        </is>
      </c>
    </row>
    <row r="29">
      <c r="A29" s="10" t="inlineStr">
        <is>
          <t>dynamic_scales_out</t>
        </is>
      </c>
      <c r="B29" s="11">
        <f>IF(B11=1, B17*4, 0)</f>
        <v/>
      </c>
      <c r="C29" s="12">
        <f>B29/1024/1024</f>
        <v/>
      </c>
      <c r="D29" s="10" t="inlineStr">
        <is>
          <t>{T} × kFloat, 仅量化时分配</t>
        </is>
      </c>
    </row>
    <row r="30">
      <c r="A30" s="13" t="inlineStr">
        <is>
          <t>合计</t>
        </is>
      </c>
      <c r="B30" s="8">
        <f>SUM(B25:B29)</f>
        <v/>
      </c>
      <c r="C30" s="14">
        <f>B30/1024/1024</f>
        <v/>
      </c>
      <c r="D30" s="10" t="inlineStr">
        <is>
          <t>所有 shmem tensor 总用量</t>
        </is>
      </c>
    </row>
    <row r="32">
      <c r="A32" s="3" t="inlineStr">
        <is>
          <t>结果摘要</t>
        </is>
      </c>
    </row>
    <row r="33">
      <c r="A33" s="4" t="inlineStr">
        <is>
          <t>估算 max_recv_tokens</t>
        </is>
      </c>
      <c r="B33" s="8">
        <f>B17</f>
        <v/>
      </c>
    </row>
    <row r="34">
      <c r="A34" s="4" t="inlineStr">
        <is>
          <t>所需 shmem 池大小 (GB)</t>
        </is>
      </c>
      <c r="B34" s="14">
        <f>B21/1024/1024/1024</f>
        <v/>
      </c>
    </row>
    <row r="35">
      <c r="A35" s="4" t="inlineStr">
        <is>
          <t>所需 shmem 池大小 (MB)</t>
        </is>
      </c>
      <c r="B35" s="14">
        <f>B21/1024/1024</f>
        <v/>
      </c>
    </row>
    <row r="36">
      <c r="A36" s="4" t="inlineStr">
        <is>
          <t>建议申请量 (GB, 向上取整)</t>
        </is>
      </c>
      <c r="B36" s="17">
        <f>CEILING(B21/1024/1024/1024, 0.5)</f>
        <v/>
      </c>
    </row>
    <row r="37">
      <c r="A37" s="4" t="inlineStr">
        <is>
          <t>固定开销占比</t>
        </is>
      </c>
      <c r="B37" s="18">
        <f>B18/B21</f>
        <v/>
      </c>
    </row>
    <row r="38">
      <c r="A38" s="4" t="inlineStr">
        <is>
          <t>元数据占比</t>
        </is>
      </c>
      <c r="B38" s="15">
        <f>B5/B21</f>
        <v/>
      </c>
    </row>
    <row r="39">
      <c r="A39" s="4" t="inlineStr">
        <is>
          <t>数据区占比</t>
        </is>
      </c>
      <c r="B39" s="15">
        <f>B20/B21</f>
        <v/>
      </c>
    </row>
    <row r="41">
      <c r="A41" s="3" t="inlineStr">
        <is>
          <t>公式参考</t>
        </is>
      </c>
    </row>
    <row r="42">
      <c r="A42" s="16" t="inlineStr">
        <is>
          <t>max_recv_tokens = ⌈ seqLen × topk × 不均匀比例 ⌉</t>
        </is>
      </c>
    </row>
    <row r="43">
      <c r="A43" s="16" t="inlineStr">
        <is>
          <t>required_pool = META_SIZE + E×(1+R)×4 + max_recv_tokens × (H×2 + quant×4)</t>
        </is>
      </c>
    </row>
    <row r="44">
      <c r="A44" s="16" t="inlineStr"/>
    </row>
    <row r="45">
      <c r="A45" s="16" t="inlineStr">
        <is>
          <t>不均匀比例说明:</t>
        </is>
      </c>
    </row>
    <row r="46">
      <c r="A46" s="16" t="inlineStr">
        <is>
          <t xml:space="preserve">  1.0 = 完全均匀, 每卡收到 seqLen×topk 个 token</t>
        </is>
      </c>
    </row>
    <row r="47">
      <c r="A47" s="16" t="inlineStr">
        <is>
          <t xml:space="preserve">  1.5 = 最坏情况比均值多 50%</t>
        </is>
      </c>
    </row>
    <row r="48">
      <c r="A48" s="16" t="inlineStr">
        <is>
          <t xml:space="preserve">  2.0 = 最坏情况是均值的 2 倍</t>
        </is>
      </c>
    </row>
  </sheetData>
  <mergeCells count="9">
    <mergeCell ref="A1:D1"/>
    <mergeCell ref="A45:D45"/>
    <mergeCell ref="A48:D48"/>
    <mergeCell ref="A43:D43"/>
    <mergeCell ref="A2:D2"/>
    <mergeCell ref="A47:D47"/>
    <mergeCell ref="A42:D42"/>
    <mergeCell ref="A46:D4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2026-03-28T08:47:14Z</dcterms:created>
  <dcterms:modified xmlns:dcterms="http://purl.org/dc/terms/" xmlns:xsi="http://www.w3.org/2001/XMLSchema-instance" xsi:type="dcterms:W3CDTF">2026-03-28T08:47:14Z</dcterms:modified>
</cp:coreProperties>
</file>